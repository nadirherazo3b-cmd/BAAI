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dir\Desktop\BAAI\"/>
    </mc:Choice>
  </mc:AlternateContent>
  <xr:revisionPtr revIDLastSave="0" documentId="13_ncr:1_{D462FBE3-E4A4-40E4-9CE6-B4AC12DF4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tex_Simplified (2)" sheetId="3" r:id="rId1"/>
    <sheet name="Inditex_Simplifie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O2" i="3"/>
  <c r="O3" i="3"/>
  <c r="O4" i="3"/>
  <c r="O5" i="3"/>
  <c r="O6" i="3"/>
  <c r="O7" i="3"/>
  <c r="O8" i="3"/>
  <c r="O9" i="3"/>
  <c r="O10" i="3"/>
  <c r="O11" i="3"/>
  <c r="M4" i="3"/>
  <c r="N4" i="3" s="1"/>
  <c r="M5" i="3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3" i="3"/>
  <c r="N3" i="3" s="1"/>
  <c r="D4" i="3"/>
  <c r="D5" i="3"/>
  <c r="D6" i="3"/>
  <c r="D7" i="3"/>
  <c r="D8" i="3"/>
  <c r="D9" i="3"/>
  <c r="D10" i="3"/>
  <c r="D11" i="3"/>
  <c r="D3" i="3"/>
  <c r="W2" i="3"/>
  <c r="V3" i="3"/>
  <c r="W3" i="3" s="1"/>
  <c r="R3" i="3"/>
  <c r="R4" i="3"/>
  <c r="R5" i="3"/>
  <c r="R6" i="3"/>
  <c r="R7" i="3"/>
  <c r="R8" i="3"/>
  <c r="R9" i="3"/>
  <c r="R10" i="3"/>
  <c r="R11" i="3"/>
  <c r="R2" i="3"/>
  <c r="Q3" i="3"/>
  <c r="Q4" i="3"/>
  <c r="Q5" i="3"/>
  <c r="Q6" i="3"/>
  <c r="Q7" i="3"/>
  <c r="Q8" i="3"/>
  <c r="Q9" i="3"/>
  <c r="Q10" i="3"/>
  <c r="Q11" i="3"/>
  <c r="Q2" i="3"/>
  <c r="P2" i="3"/>
  <c r="P3" i="3"/>
  <c r="P4" i="3"/>
  <c r="P5" i="3"/>
  <c r="P6" i="3"/>
  <c r="P7" i="3"/>
  <c r="P8" i="3"/>
  <c r="P9" i="3"/>
  <c r="P10" i="3"/>
  <c r="P11" i="3"/>
  <c r="V11" i="3"/>
  <c r="W11" i="3" s="1"/>
  <c r="V10" i="3"/>
  <c r="W10" i="3" s="1"/>
  <c r="V9" i="3"/>
  <c r="W9" i="3" s="1"/>
  <c r="V8" i="3"/>
  <c r="W8" i="3" s="1"/>
  <c r="V7" i="3"/>
  <c r="W7" i="3" s="1"/>
  <c r="V6" i="3"/>
  <c r="W6" i="3" s="1"/>
  <c r="V5" i="3"/>
  <c r="W5" i="3" s="1"/>
  <c r="V4" i="3"/>
  <c r="W4" i="3" s="1"/>
  <c r="B20" i="1"/>
  <c r="B19" i="1"/>
  <c r="B18" i="1"/>
  <c r="L4" i="1"/>
  <c r="L5" i="1"/>
  <c r="L6" i="1"/>
  <c r="L7" i="1"/>
  <c r="L8" i="1"/>
  <c r="L9" i="1"/>
  <c r="L10" i="1"/>
  <c r="L11" i="1"/>
  <c r="L12" i="1"/>
  <c r="L3" i="1"/>
  <c r="H4" i="1"/>
  <c r="H5" i="1"/>
  <c r="H6" i="1"/>
  <c r="H7" i="1"/>
  <c r="H8" i="1"/>
  <c r="H9" i="1"/>
  <c r="H10" i="1"/>
  <c r="H11" i="1"/>
  <c r="H12" i="1"/>
  <c r="H3" i="1"/>
</calcChain>
</file>

<file path=xl/sharedStrings.xml><?xml version="1.0" encoding="utf-8"?>
<sst xmlns="http://schemas.openxmlformats.org/spreadsheetml/2006/main" count="38" uniqueCount="33">
  <si>
    <t>Year</t>
  </si>
  <si>
    <t>Stock_Price (€)</t>
  </si>
  <si>
    <t>Revenue (€ millions)</t>
  </si>
  <si>
    <t>Net_Income (€ millions)</t>
  </si>
  <si>
    <t>Operating_Cash_Flow (€ millions)</t>
  </si>
  <si>
    <t>IBEX35_Price (points)</t>
  </si>
  <si>
    <t>Market_Return (%)</t>
  </si>
  <si>
    <t>Earnings Per Share (EPS) €</t>
  </si>
  <si>
    <t>Observations</t>
  </si>
  <si>
    <t>29/01 stock market close</t>
  </si>
  <si>
    <t>only for market return 2015</t>
  </si>
  <si>
    <t>Fiscal year in Inditex closes at 31-01. 29/01 stock market close in 2016. Ibex35 in 2014 is "10403.29" this data is to calculate market return % in 2015 to have the year in the regression analysis.</t>
  </si>
  <si>
    <t>Fecha extraccion datos tabla: 21/11/2025 Yahoo Finance (Stock price, Ibex35 points) Market return calculado con ibex35 points</t>
  </si>
  <si>
    <t>What financial metrics most strongly predict changes in Inditex’s stock price over the last 10 years?</t>
  </si>
  <si>
    <t>El profesor dice que si la tabla es muy larga mejor solo poner las variables importantes en el informe y dejar una anotacion sobre ello. La otra opcion es elegir menos variables y que el informe sea mas corto. No se porque creo que no hara falta tantas variables como dice el final project.</t>
  </si>
  <si>
    <t>Current Ratio</t>
  </si>
  <si>
    <t>Debt-to-equity</t>
  </si>
  <si>
    <t>ROA</t>
  </si>
  <si>
    <t>ROE</t>
  </si>
  <si>
    <t>Market return</t>
  </si>
  <si>
    <t>Revenue Growth (%)</t>
  </si>
  <si>
    <t>Inventory days</t>
  </si>
  <si>
    <t>Average Inventory (€ millions)</t>
  </si>
  <si>
    <t>Operating_Cash_Flow (€ Billions) US format</t>
  </si>
  <si>
    <t>Revenue (€ millions) (€ Billions) US format</t>
  </si>
  <si>
    <t>Net_Income (€ Billions) US format</t>
  </si>
  <si>
    <t>TOTAL LIABILITIES (PASIVO TOTAL) (€ Billions) US format</t>
  </si>
  <si>
    <t>Net Worth (PATRIMONIO NETO) (€ Billions) US format</t>
  </si>
  <si>
    <t>Total Assets (Activos totales) (€ Billions) US format</t>
  </si>
  <si>
    <t>CURRENT ASSETS (ACTIVOS CORRIENTES) (€ Billions) US format</t>
  </si>
  <si>
    <t>CURRENT LIABILITIES (PASIVOS CORRIENTES) (€ Billions) US format</t>
  </si>
  <si>
    <t>Cost of goods (€ Billions) US format</t>
  </si>
  <si>
    <t>Stock/inventories (€ Billions) US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</si>
</sst>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A84D-D442-4020-887B-0F4C9E38A7D4}">
  <dimension ref="A1:W16"/>
  <sheetViews>
    <sheetView tabSelected="1" topLeftCell="R1" workbookViewId="0">
      <selection activeCell="T14" sqref="T14"/>
    </sheetView>
  </sheetViews>
  <sheetFormatPr defaultRowHeight="14.4" x14ac:dyDescent="0.3"/>
  <cols>
    <col min="1" max="1" width="22.6640625" customWidth="1"/>
    <col min="2" max="2" width="17" customWidth="1"/>
    <col min="3" max="4" width="21.21875" customWidth="1"/>
    <col min="5" max="5" width="24.33203125" customWidth="1"/>
    <col min="6" max="6" width="25.77734375" customWidth="1"/>
    <col min="7" max="18" width="24.33203125" customWidth="1"/>
    <col min="19" max="19" width="16.109375" customWidth="1"/>
    <col min="20" max="20" width="22.109375" customWidth="1"/>
    <col min="21" max="21" width="11.5546875" customWidth="1"/>
    <col min="22" max="22" width="14.6640625" customWidth="1"/>
  </cols>
  <sheetData>
    <row r="1" spans="1:23" s="1" customFormat="1" ht="43.2" x14ac:dyDescent="0.3">
      <c r="A1" s="1" t="s">
        <v>0</v>
      </c>
      <c r="B1" s="1" t="s">
        <v>1</v>
      </c>
      <c r="C1" s="1" t="s">
        <v>24</v>
      </c>
      <c r="D1" s="1" t="s">
        <v>20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22</v>
      </c>
      <c r="N1" s="1" t="s">
        <v>21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7</v>
      </c>
      <c r="T1" s="1" t="s">
        <v>23</v>
      </c>
      <c r="U1" s="1" t="s">
        <v>5</v>
      </c>
      <c r="V1" s="1" t="s">
        <v>6</v>
      </c>
      <c r="W1" s="1" t="s">
        <v>19</v>
      </c>
    </row>
    <row r="2" spans="1:23" x14ac:dyDescent="0.3">
      <c r="A2">
        <v>2015</v>
      </c>
      <c r="B2">
        <v>22.26</v>
      </c>
      <c r="C2" s="6">
        <v>20.900438999999999</v>
      </c>
      <c r="D2" s="6">
        <v>0.15359999999999999</v>
      </c>
      <c r="E2" s="6">
        <v>2.8822009999999998</v>
      </c>
      <c r="F2" s="6">
        <v>5.9063549999999996</v>
      </c>
      <c r="G2" s="6">
        <v>11.450793000000001</v>
      </c>
      <c r="H2" s="6">
        <v>17.357147999999999</v>
      </c>
      <c r="I2" s="6">
        <v>8.4492349999999998</v>
      </c>
      <c r="J2" s="6">
        <v>4.6701509999999997</v>
      </c>
      <c r="K2" s="6">
        <v>8.8111390000000007</v>
      </c>
      <c r="L2" s="9">
        <v>2.1950150000000002</v>
      </c>
      <c r="M2" s="6">
        <v>2.0272700000000001</v>
      </c>
      <c r="N2" s="6">
        <f>(M2/K2)*365</f>
        <v>83.979330027593477</v>
      </c>
      <c r="O2" s="6">
        <f>I2/J2</f>
        <v>1.8091995312357139</v>
      </c>
      <c r="P2" s="6">
        <f t="shared" ref="P2:P11" si="0">F2/G2</f>
        <v>0.5158031413195574</v>
      </c>
      <c r="Q2" s="6">
        <f t="shared" ref="Q2:Q11" si="1">E2/H2</f>
        <v>0.16605268330949302</v>
      </c>
      <c r="R2" s="6">
        <f t="shared" ref="R2:R11" si="2">E2/G2</f>
        <v>0.25170317898507111</v>
      </c>
      <c r="S2" s="7">
        <v>0.92300000000000004</v>
      </c>
      <c r="T2" s="6">
        <v>4.4995279999999998</v>
      </c>
      <c r="U2" s="6">
        <v>8815.7900000000009</v>
      </c>
      <c r="V2" s="6">
        <v>-15.259600000000001</v>
      </c>
      <c r="W2" s="6">
        <f>V2/100</f>
        <v>-0.15259600000000001</v>
      </c>
    </row>
    <row r="3" spans="1:23" x14ac:dyDescent="0.3">
      <c r="A3">
        <v>2016</v>
      </c>
      <c r="B3">
        <v>22.97</v>
      </c>
      <c r="C3" s="6">
        <v>23.310531999999998</v>
      </c>
      <c r="D3" s="6">
        <f>(C3-C2)/C2</f>
        <v>0.11531303242003672</v>
      </c>
      <c r="E3" s="6">
        <v>3.1611050000000001</v>
      </c>
      <c r="F3" s="6">
        <v>6.8698810000000003</v>
      </c>
      <c r="G3" s="6">
        <v>12.751554</v>
      </c>
      <c r="H3" s="6">
        <v>19.621435000000002</v>
      </c>
      <c r="I3" s="6">
        <v>9.8983469999999993</v>
      </c>
      <c r="J3" s="6">
        <v>5.4505739999999996</v>
      </c>
      <c r="K3" s="9">
        <v>10.031981999999999</v>
      </c>
      <c r="L3" s="9">
        <v>2.5491950000000001</v>
      </c>
      <c r="M3" s="6">
        <f>(L3+L2)/2</f>
        <v>2.3721050000000004</v>
      </c>
      <c r="N3" s="6">
        <f>(M3/K3)*365</f>
        <v>86.305809260822059</v>
      </c>
      <c r="O3" s="6">
        <f t="shared" ref="O3:O11" si="3">I3/J3</f>
        <v>1.8160191935748418</v>
      </c>
      <c r="P3" s="6">
        <f t="shared" si="0"/>
        <v>0.53874853213969054</v>
      </c>
      <c r="Q3" s="6">
        <f t="shared" si="1"/>
        <v>0.16110467965263497</v>
      </c>
      <c r="R3" s="6">
        <f t="shared" si="2"/>
        <v>0.24789958933632716</v>
      </c>
      <c r="S3" s="7">
        <v>1.014</v>
      </c>
      <c r="T3" s="6">
        <v>4.1314039999999999</v>
      </c>
      <c r="U3" s="6">
        <v>9315.2000000000007</v>
      </c>
      <c r="V3" s="6">
        <f t="shared" ref="V3:V11" si="4">IF(U2&lt;&gt;0,(U3-U2)/U2*100,"")</f>
        <v>5.6649489155254358</v>
      </c>
      <c r="W3" s="6">
        <f t="shared" ref="W3:W11" si="5">V3/100</f>
        <v>5.6649489155254355E-2</v>
      </c>
    </row>
    <row r="4" spans="1:23" x14ac:dyDescent="0.3">
      <c r="A4">
        <v>2017</v>
      </c>
      <c r="B4">
        <v>22.16</v>
      </c>
      <c r="C4" s="6">
        <v>25.335999999999999</v>
      </c>
      <c r="D4" s="6">
        <f t="shared" ref="D4:D11" si="6">(C4-C3)/C3</f>
        <v>8.6890681002046638E-2</v>
      </c>
      <c r="E4" s="6">
        <v>3.3719999999999999</v>
      </c>
      <c r="F4" s="6">
        <v>6.7089999999999996</v>
      </c>
      <c r="G4" s="6">
        <v>13.522</v>
      </c>
      <c r="H4" s="6">
        <v>20.231000000000002</v>
      </c>
      <c r="I4" s="6">
        <v>10.147</v>
      </c>
      <c r="J4" s="6">
        <v>5.173</v>
      </c>
      <c r="K4" s="6">
        <v>11.076000000000001</v>
      </c>
      <c r="L4" s="6">
        <v>2.6850000000000001</v>
      </c>
      <c r="M4" s="6">
        <f t="shared" ref="M4:M11" si="7">(L4+L3)/2</f>
        <v>2.6170974999999999</v>
      </c>
      <c r="N4" s="6">
        <f t="shared" ref="N4:N11" si="8">(M4/K4)*365</f>
        <v>86.244184498013709</v>
      </c>
      <c r="O4" s="6">
        <f t="shared" si="3"/>
        <v>1.9615310264836652</v>
      </c>
      <c r="P4" s="6">
        <f t="shared" si="0"/>
        <v>0.49615441502736279</v>
      </c>
      <c r="Q4" s="6">
        <f t="shared" si="1"/>
        <v>0.16667490484899411</v>
      </c>
      <c r="R4" s="6">
        <f t="shared" si="2"/>
        <v>0.24937139476408815</v>
      </c>
      <c r="S4" s="7">
        <v>1.0820000000000001</v>
      </c>
      <c r="T4" s="6">
        <v>3.9609999999999999</v>
      </c>
      <c r="U4" s="6">
        <v>10451.5</v>
      </c>
      <c r="V4" s="6">
        <f t="shared" si="4"/>
        <v>12.19834249398831</v>
      </c>
      <c r="W4" s="6">
        <f t="shared" si="5"/>
        <v>0.12198342493988309</v>
      </c>
    </row>
    <row r="5" spans="1:23" x14ac:dyDescent="0.3">
      <c r="A5">
        <v>2018</v>
      </c>
      <c r="B5">
        <v>19.260000000000002</v>
      </c>
      <c r="C5" s="6">
        <v>26.145</v>
      </c>
      <c r="D5" s="6">
        <f t="shared" si="6"/>
        <v>3.193084938427538E-2</v>
      </c>
      <c r="E5" s="6">
        <v>3.448</v>
      </c>
      <c r="F5" s="6">
        <v>7.0019999999999998</v>
      </c>
      <c r="G5" s="6">
        <v>14.682</v>
      </c>
      <c r="H5" s="6">
        <v>21.684000000000001</v>
      </c>
      <c r="I5" s="6">
        <v>10.62</v>
      </c>
      <c r="J5" s="6">
        <v>5.383</v>
      </c>
      <c r="K5" s="6">
        <v>11.329000000000001</v>
      </c>
      <c r="L5" s="6">
        <v>2.7160000000000002</v>
      </c>
      <c r="M5" s="6">
        <f t="shared" si="7"/>
        <v>2.7004999999999999</v>
      </c>
      <c r="N5" s="6">
        <f t="shared" si="8"/>
        <v>87.005252008120735</v>
      </c>
      <c r="O5" s="6">
        <f t="shared" si="3"/>
        <v>1.9728775775589817</v>
      </c>
      <c r="P5" s="6">
        <f t="shared" si="0"/>
        <v>0.47691050265631385</v>
      </c>
      <c r="Q5" s="6">
        <f t="shared" si="1"/>
        <v>0.15901125253643239</v>
      </c>
      <c r="R5" s="6">
        <f t="shared" si="2"/>
        <v>0.23484538891159243</v>
      </c>
      <c r="S5" s="8">
        <v>1.1060000000000001</v>
      </c>
      <c r="T5" s="6">
        <v>4.0289999999999999</v>
      </c>
      <c r="U5" s="6">
        <v>9056.7000000000007</v>
      </c>
      <c r="V5" s="6">
        <f t="shared" si="4"/>
        <v>-13.34545280581734</v>
      </c>
      <c r="W5" s="6">
        <f t="shared" si="5"/>
        <v>-0.1334545280581734</v>
      </c>
    </row>
    <row r="6" spans="1:23" x14ac:dyDescent="0.3">
      <c r="A6">
        <v>2019</v>
      </c>
      <c r="B6">
        <v>24.8</v>
      </c>
      <c r="C6" s="6">
        <v>28.286000000000001</v>
      </c>
      <c r="D6" s="6">
        <f t="shared" si="6"/>
        <v>8.1889462612354247E-2</v>
      </c>
      <c r="E6" s="6">
        <v>3.6469999999999998</v>
      </c>
      <c r="F6" s="6">
        <v>13.442</v>
      </c>
      <c r="G6" s="6">
        <v>14.949</v>
      </c>
      <c r="H6" s="6">
        <v>28.390999999999998</v>
      </c>
      <c r="I6" s="6">
        <v>11.414</v>
      </c>
      <c r="J6" s="6">
        <v>7.306</v>
      </c>
      <c r="K6" s="6">
        <v>12.478999999999999</v>
      </c>
      <c r="L6" s="6">
        <v>2.2690000000000001</v>
      </c>
      <c r="M6" s="6">
        <f t="shared" si="7"/>
        <v>2.4925000000000002</v>
      </c>
      <c r="N6" s="6">
        <f t="shared" si="8"/>
        <v>72.903477842775871</v>
      </c>
      <c r="O6" s="6">
        <f t="shared" si="3"/>
        <v>1.5622775800711743</v>
      </c>
      <c r="P6" s="6">
        <f t="shared" si="0"/>
        <v>0.89919058130978657</v>
      </c>
      <c r="Q6" s="6">
        <f t="shared" si="1"/>
        <v>0.12845620090873869</v>
      </c>
      <c r="R6" s="6">
        <f t="shared" si="2"/>
        <v>0.24396280687671415</v>
      </c>
      <c r="S6" s="7">
        <v>1.1679999999999999</v>
      </c>
      <c r="T6" s="6">
        <v>6.9</v>
      </c>
      <c r="U6" s="6">
        <v>9367.9</v>
      </c>
      <c r="V6" s="6">
        <f t="shared" si="4"/>
        <v>3.4361301577837282</v>
      </c>
      <c r="W6" s="6">
        <f t="shared" si="5"/>
        <v>3.4361301577837282E-2</v>
      </c>
    </row>
    <row r="7" spans="1:23" x14ac:dyDescent="0.3">
      <c r="A7">
        <v>2020</v>
      </c>
      <c r="B7">
        <v>20.66</v>
      </c>
      <c r="C7" s="6">
        <v>20.402000000000001</v>
      </c>
      <c r="D7" s="6">
        <f t="shared" si="6"/>
        <v>-0.27872445732871387</v>
      </c>
      <c r="E7" s="6">
        <v>1.1040000000000001</v>
      </c>
      <c r="F7" s="6">
        <v>11.868</v>
      </c>
      <c r="G7" s="6">
        <v>14.55</v>
      </c>
      <c r="H7" s="6">
        <v>26.417999999999999</v>
      </c>
      <c r="I7" s="6">
        <v>10.957000000000001</v>
      </c>
      <c r="J7" s="6">
        <v>6.3380000000000001</v>
      </c>
      <c r="K7" s="6">
        <v>9.0129999999999999</v>
      </c>
      <c r="L7" s="6">
        <v>2.3210000000000002</v>
      </c>
      <c r="M7" s="6">
        <f t="shared" si="7"/>
        <v>2.2949999999999999</v>
      </c>
      <c r="N7" s="6">
        <f t="shared" si="8"/>
        <v>92.940752246754684</v>
      </c>
      <c r="O7" s="6">
        <f t="shared" si="3"/>
        <v>1.7287787945724205</v>
      </c>
      <c r="P7" s="6">
        <f t="shared" si="0"/>
        <v>0.81567010309278354</v>
      </c>
      <c r="Q7" s="6">
        <f t="shared" si="1"/>
        <v>4.1789688848512384E-2</v>
      </c>
      <c r="R7" s="6">
        <f t="shared" si="2"/>
        <v>7.5876288659793817E-2</v>
      </c>
      <c r="S7" s="7">
        <v>0.35499999999999998</v>
      </c>
      <c r="T7" s="6">
        <v>3.0169999999999999</v>
      </c>
      <c r="U7" s="6">
        <v>7798.2</v>
      </c>
      <c r="V7" s="6">
        <f t="shared" si="4"/>
        <v>-16.756156662645843</v>
      </c>
      <c r="W7" s="6">
        <f t="shared" si="5"/>
        <v>-0.16756156662645844</v>
      </c>
    </row>
    <row r="8" spans="1:23" x14ac:dyDescent="0.3">
      <c r="A8">
        <v>2021</v>
      </c>
      <c r="B8">
        <v>23.09</v>
      </c>
      <c r="C8" s="6">
        <v>27.716000000000001</v>
      </c>
      <c r="D8" s="6">
        <f t="shared" si="6"/>
        <v>0.35849426526811096</v>
      </c>
      <c r="E8" s="6">
        <v>3.2429999999999999</v>
      </c>
      <c r="F8" s="6">
        <v>13.186</v>
      </c>
      <c r="G8" s="6">
        <v>15.759</v>
      </c>
      <c r="H8" s="6">
        <v>28.945</v>
      </c>
      <c r="I8" s="6">
        <v>13.602</v>
      </c>
      <c r="J8" s="6">
        <v>8.0299999999999994</v>
      </c>
      <c r="K8" s="6">
        <v>11.901999999999999</v>
      </c>
      <c r="L8" s="6">
        <v>3.0419999999999998</v>
      </c>
      <c r="M8" s="6">
        <f t="shared" si="7"/>
        <v>2.6814999999999998</v>
      </c>
      <c r="N8" s="6">
        <f t="shared" si="8"/>
        <v>82.233868257435716</v>
      </c>
      <c r="O8" s="6">
        <f t="shared" si="3"/>
        <v>1.693897882938979</v>
      </c>
      <c r="P8" s="6">
        <f t="shared" si="0"/>
        <v>0.83672821879560888</v>
      </c>
      <c r="Q8" s="6">
        <f t="shared" si="1"/>
        <v>0.11204007600621868</v>
      </c>
      <c r="R8" s="6">
        <f t="shared" si="2"/>
        <v>0.20578716923662668</v>
      </c>
      <c r="S8" s="7">
        <v>1.042</v>
      </c>
      <c r="T8" s="6">
        <v>6.7539999999999996</v>
      </c>
      <c r="U8" s="6">
        <v>8612.7999999999993</v>
      </c>
      <c r="V8" s="6">
        <f t="shared" si="4"/>
        <v>10.446000359057212</v>
      </c>
      <c r="W8" s="6">
        <f t="shared" si="5"/>
        <v>0.10446000359057211</v>
      </c>
    </row>
    <row r="9" spans="1:23" x14ac:dyDescent="0.3">
      <c r="A9">
        <v>2022</v>
      </c>
      <c r="B9">
        <v>25.8</v>
      </c>
      <c r="C9" s="6">
        <v>32.569000000000003</v>
      </c>
      <c r="D9" s="6">
        <f t="shared" si="6"/>
        <v>0.17509741665463996</v>
      </c>
      <c r="E9" s="6">
        <v>4.1470000000000002</v>
      </c>
      <c r="F9" s="6">
        <v>12.95</v>
      </c>
      <c r="G9" s="6">
        <v>17.033000000000001</v>
      </c>
      <c r="H9" s="6">
        <v>29.983000000000001</v>
      </c>
      <c r="I9" s="6">
        <v>14.638999999999999</v>
      </c>
      <c r="J9" s="6">
        <v>8.1370000000000005</v>
      </c>
      <c r="K9" s="6">
        <v>14.010999999999999</v>
      </c>
      <c r="L9" s="6">
        <v>3.1909999999999998</v>
      </c>
      <c r="M9" s="6">
        <f t="shared" si="7"/>
        <v>3.1164999999999998</v>
      </c>
      <c r="N9" s="6">
        <f t="shared" si="8"/>
        <v>81.187816715437876</v>
      </c>
      <c r="O9" s="6">
        <f t="shared" si="3"/>
        <v>1.7990659948383922</v>
      </c>
      <c r="P9" s="6">
        <f t="shared" si="0"/>
        <v>0.76028885105383659</v>
      </c>
      <c r="Q9" s="6">
        <f t="shared" si="1"/>
        <v>0.13831170996898243</v>
      </c>
      <c r="R9" s="6">
        <f t="shared" si="2"/>
        <v>0.24346856102859155</v>
      </c>
      <c r="S9" s="7">
        <v>1.327</v>
      </c>
      <c r="T9" s="6">
        <v>6.6740000000000004</v>
      </c>
      <c r="U9" s="6">
        <v>9034</v>
      </c>
      <c r="V9" s="6">
        <f t="shared" si="4"/>
        <v>4.8903956901356214</v>
      </c>
      <c r="W9" s="6">
        <f t="shared" si="5"/>
        <v>4.890395690135621E-2</v>
      </c>
    </row>
    <row r="10" spans="1:23" x14ac:dyDescent="0.3">
      <c r="A10">
        <v>2023</v>
      </c>
      <c r="B10">
        <v>37.159999999999997</v>
      </c>
      <c r="C10" s="6">
        <v>35.947000000000003</v>
      </c>
      <c r="D10" s="6">
        <f t="shared" si="6"/>
        <v>0.10371825969480181</v>
      </c>
      <c r="E10" s="6">
        <v>5.3810000000000002</v>
      </c>
      <c r="F10" s="6">
        <v>14.063000000000001</v>
      </c>
      <c r="G10" s="6">
        <v>18.672000000000001</v>
      </c>
      <c r="H10" s="6">
        <v>32.734999999999999</v>
      </c>
      <c r="I10" s="6">
        <v>16.015999999999998</v>
      </c>
      <c r="J10" s="6">
        <v>8.9369999999999994</v>
      </c>
      <c r="K10" s="6">
        <v>15.186</v>
      </c>
      <c r="L10" s="6">
        <v>2.9660000000000002</v>
      </c>
      <c r="M10" s="6">
        <f t="shared" si="7"/>
        <v>3.0785</v>
      </c>
      <c r="N10" s="6">
        <f t="shared" si="8"/>
        <v>73.992657711049645</v>
      </c>
      <c r="O10" s="6">
        <f t="shared" si="3"/>
        <v>1.7921002573570548</v>
      </c>
      <c r="P10" s="6">
        <f t="shared" si="0"/>
        <v>0.75315981148243361</v>
      </c>
      <c r="Q10" s="6">
        <f t="shared" si="1"/>
        <v>0.16438063235069497</v>
      </c>
      <c r="R10" s="6">
        <f t="shared" si="2"/>
        <v>0.28818551842330764</v>
      </c>
      <c r="S10" s="7">
        <v>1.7290000000000001</v>
      </c>
      <c r="T10" s="6">
        <v>8.6669999999999998</v>
      </c>
      <c r="U10" s="6">
        <v>10077.700000000001</v>
      </c>
      <c r="V10" s="6">
        <f t="shared" si="4"/>
        <v>11.55302191720169</v>
      </c>
      <c r="W10" s="6">
        <f t="shared" si="5"/>
        <v>0.1155302191720169</v>
      </c>
    </row>
    <row r="11" spans="1:23" x14ac:dyDescent="0.3">
      <c r="A11">
        <v>2024</v>
      </c>
      <c r="B11">
        <v>50.92</v>
      </c>
      <c r="C11" s="6">
        <v>38.631999999999998</v>
      </c>
      <c r="D11" s="6">
        <f t="shared" si="6"/>
        <v>7.4693298467187669E-2</v>
      </c>
      <c r="E11" s="6">
        <v>5.8</v>
      </c>
      <c r="F11" s="6">
        <v>15.038</v>
      </c>
      <c r="G11" s="6">
        <v>19.675999999999998</v>
      </c>
      <c r="H11" s="6">
        <v>34.713999999999999</v>
      </c>
      <c r="I11" s="6">
        <v>16.356000000000002</v>
      </c>
      <c r="J11" s="6">
        <v>10.186999999999999</v>
      </c>
      <c r="K11" s="6">
        <v>16.288</v>
      </c>
      <c r="L11" s="6">
        <v>3.3210000000000002</v>
      </c>
      <c r="M11" s="6">
        <f t="shared" si="7"/>
        <v>3.1435000000000004</v>
      </c>
      <c r="N11" s="6">
        <f t="shared" si="8"/>
        <v>70.443117632612967</v>
      </c>
      <c r="O11" s="6">
        <f t="shared" si="3"/>
        <v>1.6055757337783452</v>
      </c>
      <c r="P11" s="6">
        <f t="shared" si="0"/>
        <v>0.76428135799959351</v>
      </c>
      <c r="Q11" s="6">
        <f t="shared" si="1"/>
        <v>0.16707956444085958</v>
      </c>
      <c r="R11" s="6">
        <f t="shared" si="2"/>
        <v>0.29477536084570038</v>
      </c>
      <c r="S11" s="7">
        <v>1.8839999999999999</v>
      </c>
      <c r="T11" s="6">
        <v>9.2880000000000003</v>
      </c>
      <c r="U11" s="6">
        <v>12368.9</v>
      </c>
      <c r="V11" s="6">
        <f t="shared" si="4"/>
        <v>22.735346358792171</v>
      </c>
      <c r="W11" s="6">
        <f t="shared" si="5"/>
        <v>0.22735346358792172</v>
      </c>
    </row>
    <row r="14" spans="1:23" x14ac:dyDescent="0.3">
      <c r="L14" s="6"/>
      <c r="T14" s="6"/>
    </row>
    <row r="16" spans="1:23" x14ac:dyDescent="0.3">
      <c r="A16" s="5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workbookViewId="0">
      <selection activeCell="E19" sqref="E19"/>
    </sheetView>
  </sheetViews>
  <sheetFormatPr defaultRowHeight="14.4" x14ac:dyDescent="0.3"/>
  <cols>
    <col min="2" max="2" width="17" customWidth="1"/>
    <col min="3" max="3" width="21.21875" customWidth="1"/>
    <col min="4" max="4" width="24.33203125" customWidth="1"/>
    <col min="5" max="5" width="16.109375" customWidth="1"/>
    <col min="6" max="6" width="22.109375" customWidth="1"/>
    <col min="7" max="7" width="11.5546875" customWidth="1"/>
    <col min="9" max="9" width="22.44140625" customWidth="1"/>
    <col min="10" max="10" width="24.5546875" customWidth="1"/>
  </cols>
  <sheetData>
    <row r="1" spans="1:12" s="1" customFormat="1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12</v>
      </c>
    </row>
    <row r="2" spans="1:12" s="1" customFormat="1" ht="28.8" x14ac:dyDescent="0.3">
      <c r="A2" s="1">
        <v>2014</v>
      </c>
      <c r="G2" s="1">
        <v>10403.290000000001</v>
      </c>
      <c r="H2"/>
      <c r="I2" s="1" t="s">
        <v>10</v>
      </c>
    </row>
    <row r="3" spans="1:12" ht="115.2" x14ac:dyDescent="0.3">
      <c r="A3">
        <v>2015</v>
      </c>
      <c r="B3">
        <v>22.26</v>
      </c>
      <c r="C3">
        <v>20900.438999999998</v>
      </c>
      <c r="D3">
        <v>2882.201</v>
      </c>
      <c r="E3" s="2">
        <v>0.92300000000000004</v>
      </c>
      <c r="F3">
        <v>4499.5280000000002</v>
      </c>
      <c r="G3">
        <v>8815.7900000000009</v>
      </c>
      <c r="H3">
        <f t="shared" ref="H3:H12" si="0">IF(G2&lt;&gt;0,(G3-G2)/G2*100,"")</f>
        <v>-15.259595762494364</v>
      </c>
      <c r="I3" s="1" t="s">
        <v>11</v>
      </c>
      <c r="J3">
        <v>-15.259600000000001</v>
      </c>
      <c r="L3">
        <f>(G3-G2)/G2*100</f>
        <v>-15.259595762494364</v>
      </c>
    </row>
    <row r="4" spans="1:12" x14ac:dyDescent="0.3">
      <c r="A4">
        <v>2016</v>
      </c>
      <c r="B4">
        <v>22.97</v>
      </c>
      <c r="C4">
        <v>23310.531999999999</v>
      </c>
      <c r="D4">
        <v>3161.105</v>
      </c>
      <c r="E4" s="2">
        <v>1.014</v>
      </c>
      <c r="F4">
        <v>4131.4040000000005</v>
      </c>
      <c r="G4">
        <v>9315.2000000000007</v>
      </c>
      <c r="H4">
        <f t="shared" si="0"/>
        <v>5.6649489155254358</v>
      </c>
      <c r="L4">
        <f>(G4-G3)/G3*100</f>
        <v>5.6649489155254358</v>
      </c>
    </row>
    <row r="5" spans="1:12" x14ac:dyDescent="0.3">
      <c r="A5">
        <v>2017</v>
      </c>
      <c r="B5">
        <v>22.16</v>
      </c>
      <c r="C5">
        <v>25336</v>
      </c>
      <c r="D5">
        <v>3372</v>
      </c>
      <c r="E5" s="3">
        <v>1.0820000000000001</v>
      </c>
      <c r="F5">
        <v>3961</v>
      </c>
      <c r="G5">
        <v>10451.5</v>
      </c>
      <c r="H5">
        <f t="shared" si="0"/>
        <v>12.19834249398831</v>
      </c>
      <c r="L5">
        <f t="shared" ref="L5:L12" si="1">(G5-G4)/G4*100</f>
        <v>12.19834249398831</v>
      </c>
    </row>
    <row r="6" spans="1:12" x14ac:dyDescent="0.3">
      <c r="A6">
        <v>2018</v>
      </c>
      <c r="B6">
        <v>19.260000000000002</v>
      </c>
      <c r="C6">
        <v>26145</v>
      </c>
      <c r="D6">
        <v>3448</v>
      </c>
      <c r="E6" s="4">
        <v>1.1060000000000001</v>
      </c>
      <c r="F6">
        <v>4029</v>
      </c>
      <c r="G6">
        <v>9056.7000000000007</v>
      </c>
      <c r="H6">
        <f t="shared" si="0"/>
        <v>-13.34545280581734</v>
      </c>
      <c r="L6">
        <f t="shared" si="1"/>
        <v>-13.34545280581734</v>
      </c>
    </row>
    <row r="7" spans="1:12" x14ac:dyDescent="0.3">
      <c r="A7">
        <v>2019</v>
      </c>
      <c r="B7">
        <v>24.8</v>
      </c>
      <c r="C7">
        <v>28286</v>
      </c>
      <c r="D7">
        <v>3647</v>
      </c>
      <c r="E7" s="3">
        <v>1.1679999999999999</v>
      </c>
      <c r="F7">
        <v>6900</v>
      </c>
      <c r="G7">
        <v>9367.9</v>
      </c>
      <c r="H7">
        <f t="shared" si="0"/>
        <v>3.4361301577837282</v>
      </c>
      <c r="L7">
        <f t="shared" si="1"/>
        <v>3.4361301577837282</v>
      </c>
    </row>
    <row r="8" spans="1:12" x14ac:dyDescent="0.3">
      <c r="A8">
        <v>2020</v>
      </c>
      <c r="B8">
        <v>20.66</v>
      </c>
      <c r="C8">
        <v>20402</v>
      </c>
      <c r="D8">
        <v>1104</v>
      </c>
      <c r="E8" s="3">
        <v>0.35499999999999998</v>
      </c>
      <c r="F8">
        <v>3017</v>
      </c>
      <c r="G8">
        <v>7798.2</v>
      </c>
      <c r="H8">
        <f t="shared" si="0"/>
        <v>-16.756156662645843</v>
      </c>
      <c r="I8" s="1" t="s">
        <v>9</v>
      </c>
      <c r="L8">
        <f t="shared" si="1"/>
        <v>-16.756156662645843</v>
      </c>
    </row>
    <row r="9" spans="1:12" x14ac:dyDescent="0.3">
      <c r="A9">
        <v>2021</v>
      </c>
      <c r="B9">
        <v>23.09</v>
      </c>
      <c r="C9">
        <v>27716</v>
      </c>
      <c r="D9">
        <v>3243</v>
      </c>
      <c r="E9" s="2">
        <v>1.042</v>
      </c>
      <c r="F9">
        <v>6754</v>
      </c>
      <c r="G9">
        <v>8612.7999999999993</v>
      </c>
      <c r="H9">
        <f t="shared" si="0"/>
        <v>10.446000359057212</v>
      </c>
      <c r="L9">
        <f t="shared" si="1"/>
        <v>10.446000359057212</v>
      </c>
    </row>
    <row r="10" spans="1:12" x14ac:dyDescent="0.3">
      <c r="A10">
        <v>2022</v>
      </c>
      <c r="B10">
        <v>25.8</v>
      </c>
      <c r="C10">
        <v>32569</v>
      </c>
      <c r="D10">
        <v>4147</v>
      </c>
      <c r="E10" s="2">
        <v>1.327</v>
      </c>
      <c r="F10">
        <v>6674</v>
      </c>
      <c r="G10">
        <v>9034</v>
      </c>
      <c r="H10">
        <f t="shared" si="0"/>
        <v>4.8903956901356214</v>
      </c>
      <c r="L10">
        <f t="shared" si="1"/>
        <v>4.8903956901356214</v>
      </c>
    </row>
    <row r="11" spans="1:12" x14ac:dyDescent="0.3">
      <c r="A11">
        <v>2023</v>
      </c>
      <c r="B11">
        <v>37.159999999999997</v>
      </c>
      <c r="C11">
        <v>35947</v>
      </c>
      <c r="D11">
        <v>5381</v>
      </c>
      <c r="E11" s="2">
        <v>1.7290000000000001</v>
      </c>
      <c r="F11">
        <v>8667</v>
      </c>
      <c r="G11">
        <v>10077.700000000001</v>
      </c>
      <c r="H11">
        <f t="shared" si="0"/>
        <v>11.55302191720169</v>
      </c>
      <c r="L11">
        <f t="shared" si="1"/>
        <v>11.55302191720169</v>
      </c>
    </row>
    <row r="12" spans="1:12" x14ac:dyDescent="0.3">
      <c r="A12">
        <v>2024</v>
      </c>
      <c r="B12">
        <v>50.92</v>
      </c>
      <c r="C12">
        <v>38632</v>
      </c>
      <c r="D12">
        <v>5800</v>
      </c>
      <c r="E12" s="3">
        <v>1.8839999999999999</v>
      </c>
      <c r="F12">
        <v>9288</v>
      </c>
      <c r="G12">
        <v>12368.9</v>
      </c>
      <c r="H12">
        <f t="shared" si="0"/>
        <v>22.735346358792171</v>
      </c>
      <c r="L12">
        <f t="shared" si="1"/>
        <v>22.735346358792171</v>
      </c>
    </row>
    <row r="14" spans="1:12" x14ac:dyDescent="0.3">
      <c r="A14" t="s">
        <v>13</v>
      </c>
    </row>
    <row r="15" spans="1:12" x14ac:dyDescent="0.3">
      <c r="A15" t="s">
        <v>14</v>
      </c>
    </row>
    <row r="18" spans="2:2" x14ac:dyDescent="0.3">
      <c r="B18">
        <f>MEDIAN(B3:B12)</f>
        <v>23.03</v>
      </c>
    </row>
    <row r="19" spans="2:2" x14ac:dyDescent="0.3">
      <c r="B19">
        <f>AVERAGE(B3:B12)</f>
        <v>26.908000000000005</v>
      </c>
    </row>
    <row r="20" spans="2:2" x14ac:dyDescent="0.3">
      <c r="B20">
        <f>_xlfn.STDEV.S(B3:B12)</f>
        <v>9.7702084590520961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Inditex_Simplified (2)</vt:lpstr>
      <vt:lpstr>Inditex_Simplified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Nadir Herazo Hernandez</cp:lastModifiedBy>
  <dcterms:created xsi:type="dcterms:W3CDTF">2025-11-20T14:45:54Z</dcterms:created>
  <dcterms:modified xsi:type="dcterms:W3CDTF">2025-12-07T13:19:29Z</dcterms:modified>
</cp:coreProperties>
</file>