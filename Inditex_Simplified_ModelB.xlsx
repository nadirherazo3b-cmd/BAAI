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dir\Desktop\BAAI\"/>
    </mc:Choice>
  </mc:AlternateContent>
  <xr:revisionPtr revIDLastSave="0" documentId="13_ncr:1_{6A992042-95EE-499D-8E5E-539D24145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tex_Simpl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<sst xmlns="http://schemas.openxmlformats.org/spreadsheetml/2006/main" count="8" uniqueCount="8">
  <si>
    <t>Year</t>
  </si>
  <si>
    <t>Stock_Price (€)</t>
  </si>
  <si>
    <t>Revenue (€ millions)</t>
  </si>
  <si>
    <t>Net_Income (€ millions)</t>
  </si>
  <si>
    <t>Operating_Cash_Flow (€ millions)</t>
  </si>
  <si>
    <t>IBEX35_Price (points)</t>
  </si>
  <si>
    <t>Market_Return (%)</t>
  </si>
  <si>
    <t>Earnings Per Share (EPS)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</si>
</sst>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" sqref="I1"/>
    </sheetView>
  </sheetViews>
  <sheetFormatPr defaultRowHeight="14.4" x14ac:dyDescent="0.3"/>
  <cols>
    <col min="2" max="2" width="17" customWidth="1"/>
    <col min="3" max="3" width="21.21875" customWidth="1"/>
    <col min="4" max="4" width="24.33203125" customWidth="1"/>
    <col min="5" max="5" width="16.109375" customWidth="1"/>
    <col min="6" max="6" width="22.109375" customWidth="1"/>
    <col min="7" max="7" width="11.5546875" customWidth="1"/>
    <col min="8" max="8" width="9.21875" customWidth="1"/>
    <col min="9" max="9" width="22.44140625" customWidth="1"/>
    <col min="10" max="10" width="24.5546875" customWidth="1"/>
  </cols>
  <sheetData>
    <row r="1" spans="1:9" s="1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9" x14ac:dyDescent="0.3">
      <c r="A2">
        <v>2015</v>
      </c>
      <c r="B2">
        <v>22.26</v>
      </c>
      <c r="C2">
        <v>20900.438999999998</v>
      </c>
      <c r="D2">
        <v>2882.201</v>
      </c>
      <c r="E2" s="2">
        <v>0.92300000000000004</v>
      </c>
      <c r="F2">
        <v>4499.5280000000002</v>
      </c>
      <c r="G2">
        <v>8815.7900000000009</v>
      </c>
      <c r="H2" s="1">
        <v>-15.259600000000001</v>
      </c>
      <c r="I2" s="1"/>
    </row>
    <row r="3" spans="1:9" x14ac:dyDescent="0.3">
      <c r="A3">
        <v>2016</v>
      </c>
      <c r="B3">
        <v>22.97</v>
      </c>
      <c r="C3">
        <v>23310.531999999999</v>
      </c>
      <c r="D3">
        <v>3161.105</v>
      </c>
      <c r="E3" s="2">
        <v>1.014</v>
      </c>
      <c r="F3">
        <v>4131.4040000000005</v>
      </c>
      <c r="G3">
        <v>9315.2000000000007</v>
      </c>
      <c r="H3">
        <f t="shared" ref="H3:H11" si="0">IF(G2&lt;&gt;0,(G3-G2)/G2*100,"")</f>
        <v>5.6649489155254358</v>
      </c>
    </row>
    <row r="4" spans="1:9" x14ac:dyDescent="0.3">
      <c r="A4">
        <v>2017</v>
      </c>
      <c r="B4">
        <v>22.16</v>
      </c>
      <c r="C4">
        <v>25336</v>
      </c>
      <c r="D4">
        <v>3372</v>
      </c>
      <c r="E4" s="3">
        <v>1.0820000000000001</v>
      </c>
      <c r="F4">
        <v>3961</v>
      </c>
      <c r="G4">
        <v>10451.5</v>
      </c>
      <c r="H4">
        <f t="shared" si="0"/>
        <v>12.19834249398831</v>
      </c>
    </row>
    <row r="5" spans="1:9" x14ac:dyDescent="0.3">
      <c r="A5">
        <v>2018</v>
      </c>
      <c r="B5">
        <v>19.260000000000002</v>
      </c>
      <c r="C5">
        <v>26145</v>
      </c>
      <c r="D5">
        <v>3448</v>
      </c>
      <c r="E5" s="4">
        <v>1.1060000000000001</v>
      </c>
      <c r="F5">
        <v>4029</v>
      </c>
      <c r="G5">
        <v>9056.7000000000007</v>
      </c>
      <c r="H5">
        <f t="shared" si="0"/>
        <v>-13.34545280581734</v>
      </c>
    </row>
    <row r="6" spans="1:9" x14ac:dyDescent="0.3">
      <c r="A6">
        <v>2019</v>
      </c>
      <c r="B6">
        <v>24.8</v>
      </c>
      <c r="C6">
        <v>28286</v>
      </c>
      <c r="D6">
        <v>3647</v>
      </c>
      <c r="E6" s="3">
        <v>1.1679999999999999</v>
      </c>
      <c r="F6">
        <v>6900</v>
      </c>
      <c r="G6">
        <v>9367.9</v>
      </c>
      <c r="H6">
        <f t="shared" si="0"/>
        <v>3.4361301577837282</v>
      </c>
    </row>
    <row r="7" spans="1:9" x14ac:dyDescent="0.3">
      <c r="A7">
        <v>2020</v>
      </c>
      <c r="B7">
        <v>20.66</v>
      </c>
      <c r="C7">
        <v>20402</v>
      </c>
      <c r="D7">
        <v>1104</v>
      </c>
      <c r="E7" s="3">
        <v>0.35499999999999998</v>
      </c>
      <c r="F7">
        <v>3017</v>
      </c>
      <c r="G7">
        <v>7798.2</v>
      </c>
      <c r="H7">
        <f t="shared" si="0"/>
        <v>-16.756156662645843</v>
      </c>
      <c r="I7" s="1"/>
    </row>
    <row r="8" spans="1:9" x14ac:dyDescent="0.3">
      <c r="A8">
        <v>2021</v>
      </c>
      <c r="B8">
        <v>23.09</v>
      </c>
      <c r="C8">
        <v>27716</v>
      </c>
      <c r="D8">
        <v>3243</v>
      </c>
      <c r="E8" s="2">
        <v>1.042</v>
      </c>
      <c r="F8">
        <v>6754</v>
      </c>
      <c r="G8">
        <v>8612.7999999999993</v>
      </c>
      <c r="H8">
        <f t="shared" si="0"/>
        <v>10.446000359057212</v>
      </c>
    </row>
    <row r="9" spans="1:9" x14ac:dyDescent="0.3">
      <c r="A9">
        <v>2022</v>
      </c>
      <c r="B9">
        <v>25.8</v>
      </c>
      <c r="C9">
        <v>32569</v>
      </c>
      <c r="D9">
        <v>4147</v>
      </c>
      <c r="E9" s="2">
        <v>1.327</v>
      </c>
      <c r="F9">
        <v>6674</v>
      </c>
      <c r="G9">
        <v>9034</v>
      </c>
      <c r="H9">
        <f t="shared" si="0"/>
        <v>4.8903956901356214</v>
      </c>
    </row>
    <row r="10" spans="1:9" x14ac:dyDescent="0.3">
      <c r="A10">
        <v>2023</v>
      </c>
      <c r="B10">
        <v>37.159999999999997</v>
      </c>
      <c r="C10">
        <v>35947</v>
      </c>
      <c r="D10">
        <v>5381</v>
      </c>
      <c r="E10" s="2">
        <v>1.7290000000000001</v>
      </c>
      <c r="F10">
        <v>8667</v>
      </c>
      <c r="G10">
        <v>10077.700000000001</v>
      </c>
      <c r="H10">
        <f t="shared" si="0"/>
        <v>11.55302191720169</v>
      </c>
    </row>
    <row r="11" spans="1:9" x14ac:dyDescent="0.3">
      <c r="A11">
        <v>2024</v>
      </c>
      <c r="B11">
        <v>50.92</v>
      </c>
      <c r="C11">
        <v>38632</v>
      </c>
      <c r="D11">
        <v>5800</v>
      </c>
      <c r="E11" s="3">
        <v>1.8839999999999999</v>
      </c>
      <c r="F11">
        <v>9288</v>
      </c>
      <c r="G11">
        <v>12368.9</v>
      </c>
      <c r="H11">
        <f t="shared" si="0"/>
        <v>22.735346358792171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Inditex_Simplified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Nadir Herazo Hernandez</cp:lastModifiedBy>
  <dcterms:created xsi:type="dcterms:W3CDTF">2025-11-20T14:45:54Z</dcterms:created>
  <dcterms:modified xsi:type="dcterms:W3CDTF">2025-11-24T02:22:22Z</dcterms:modified>
</cp:coreProperties>
</file>